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1D\Díaz-Frei-Salcedo\"/>
    </mc:Choice>
  </mc:AlternateContent>
  <xr:revisionPtr revIDLastSave="0" documentId="13_ncr:1_{72AF33AE-3D82-4FD1-B129-57E7355B57E9}"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<sst xmlns="http://schemas.openxmlformats.org/spreadsheetml/2006/main" count="157" uniqueCount="98">
  <si>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</si>
  <si>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</si>
  <si>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</si>
  <si>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</si>
  <si>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</si>
  <si>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</si>
  <si>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</si>
  <si>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</si>
  <si>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</si>
  <si>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</si>
  <si>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</si>
  <si>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</si>
  <si>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</si>
  <si>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</si>
  <si>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</si>
  <si>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</si>
  <si>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</si>
  <si>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</si>
  <si>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</si>
  <si>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</si>
  <si>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</si>
  <si>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</si>
  <si>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</si>
  <si>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</si>
  <si>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</si>
  <si>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</si>
  <si>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</si>
  <si>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</si>
  <si>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</si>
  <si>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</si>
  <si>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</si>
  <si>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</si>
  <si>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</si>
  <si>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</si>
  <si>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</si>
  <si>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</si>
  <si>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</si>
  <si>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</si>
  <si>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</si>
  <si>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</si>
  <si>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</si>
  <si>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</si>
  <si>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</si>
  <si>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</si>
  <si>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</si>
  <si>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</si>
  <si>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</si>
  <si>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</si>
  <si>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</si>
  <si>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</si>
  <si>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</si>
  <si>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</si>
  <si>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</si>
  <si>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</si>
  <si>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</si>
  <si>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</si>
  <si>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</si>
  <si>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</si>
  <si>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</si>
  <si>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</si>
  <si>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</si>
  <si>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</si>
  <si>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</si>
  <si>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</si>
  <si>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</si>
  <si>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</si>
  <si>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</si>
  <si>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</si>
  <si>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</si>
  <si>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</si>
  <si>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</si>
  <si>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</si>
  <si>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</si>
  <si>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</si>
  <si>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</si>
  <si>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</si>
  <si>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</si>
  <si>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</si>
  <si>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</si>
  <si>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</si>
  <si>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</si>
  <si>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</si>
  <si>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</si>
  <si>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</si>
  <si>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</si>
  <si>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</si>
  <si>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</si>
  <si>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</si>
  <si>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</si>
  <si>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</si>
  <si>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</si>
  <si>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</si>
  <si>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</si>
  <si>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</si>
  <si>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</si>
  <si>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Bernardo Díaz</t>
  </si>
  <si>
    <t>Ángel Frei</t>
  </si>
  <si>
    <t>Andrés Salcedo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</si>
</sst>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I5" sqref="I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6.4</v>
      </c>
      <c r="D4" s="6">
        <f>$C$35</f>
        <v>7</v>
      </c>
      <c r="E4" s="43">
        <f>C4*C$2+D4*D$2</f>
        <v>6.5500000000000007</v>
      </c>
      <c r="G4" s="1"/>
    </row>
    <row r="5" spans="1:11" x14ac:dyDescent="0.25">
      <c r="A5" s="5">
        <v>2</v>
      </c>
      <c r="B5" s="32" t="s">
        <v>96</v>
      </c>
      <c r="C5" s="6">
        <f>EVALUACION1!$C$24</f>
        <v>6.4</v>
      </c>
      <c r="D5" s="6">
        <f>C47</f>
        <v>4.5</v>
      </c>
      <c r="E5" s="43">
        <f t="shared" ref="E5:E6" si="0">C5*C$2+D5*D$2</f>
        <v>5.9250000000000007</v>
      </c>
      <c r="G5" s="1"/>
    </row>
    <row r="6" spans="1:11" x14ac:dyDescent="0.25">
      <c r="A6" s="5">
        <v>3</v>
      </c>
      <c r="B6" s="32" t="s">
        <v>97</v>
      </c>
      <c r="C6" s="6">
        <f>EVALUACION1!$C$24</f>
        <v>6.4</v>
      </c>
      <c r="D6" s="6">
        <f>C58</f>
        <v>7</v>
      </c>
      <c r="E6" s="43">
        <f t="shared" si="0"/>
        <v>6.5500000000000007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64</v>
      </c>
      <c r="D23" s="19"/>
      <c r="E23" s="19">
        <f>SUM(E13:E22)</f>
        <v>55</v>
      </c>
      <c r="F23" s="19"/>
      <c r="G23" s="19">
        <f>SUM(G13:G22)</f>
        <v>9</v>
      </c>
      <c r="H23" s="19"/>
      <c r="I23" s="19">
        <f>SUM(I13:I22)</f>
        <v>0</v>
      </c>
      <c r="J23" s="19"/>
      <c r="K23" s="19">
        <f>SUM(K13:K22)</f>
        <v>0</v>
      </c>
    </row>
    <row r="24" spans="1:11" ht="15.75" customHeight="1" outlineLevel="1" x14ac:dyDescent="0.3">
      <c r="A24" s="50"/>
      <c r="B24" s="36" t="s">
        <v>12</v>
      </c>
      <c r="C24" s="20">
        <f>VLOOKUP(C23,ESCALA_IEP!A2:B142,2,FALSE)</f>
        <v>6.4</v>
      </c>
    </row>
    <row r="25" spans="1:11" ht="15.75" customHeight="1" x14ac:dyDescent="0.25"/>
    <row r="26" spans="1:11" ht="15.75" customHeight="1" x14ac:dyDescent="0.25"/>
    <row r="27" spans="1:11" ht="15.75" customHeight="1" x14ac:dyDescent="0.25">
      <c r="A27" s="61" t="s">
        <v>13</v>
      </c>
      <c r="B27" s="49" t="s">
        <v>14</v>
      </c>
      <c r="C27" s="51" t="str">
        <f>$B$4</f>
        <v>Bernardo Díaz</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Ángel Frei</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10</v>
      </c>
      <c r="D45" s="16" t="str">
        <f>IF($C45=CL,"X","")</f>
        <v/>
      </c>
      <c r="E45" s="16" t="str">
        <f>IF(D45="X",100*0.1,"")</f>
        <v/>
      </c>
      <c r="F45" s="16" t="str">
        <f>IF($C45=L,"X","")</f>
        <v/>
      </c>
      <c r="G45" s="16" t="str">
        <f>IF(F45="X",60*0.1,"")</f>
        <v/>
      </c>
      <c r="H45" s="16" t="str">
        <f>IF($C45=ML,"X","")</f>
        <v/>
      </c>
      <c r="I45" s="16" t="str">
        <f>IF(H45="X",30*0.1,"")</f>
        <v/>
      </c>
      <c r="J45" s="16" t="str">
        <f>IF($C45=NL,"X","")</f>
        <v>X</v>
      </c>
      <c r="K45" s="16">
        <f>IF($J45="X",0,"")</f>
        <v>0</v>
      </c>
    </row>
    <row r="46" spans="1:11" ht="15.75" customHeight="1" x14ac:dyDescent="0.3">
      <c r="A46" s="62"/>
      <c r="B46" s="21" t="s">
        <v>17</v>
      </c>
      <c r="C46" s="18">
        <f>E46+G46+I46+K46</f>
        <v>20</v>
      </c>
      <c r="D46" s="19"/>
      <c r="E46" s="19">
        <f>SUM(E43:E45)</f>
        <v>20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4.5</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Andrés Salcedo</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2026-09-07T13:03:32Z</dcterms:modified>
  <cp:category/>
  <cp:contentStatus/>
</cp:coreProperties>
</file>